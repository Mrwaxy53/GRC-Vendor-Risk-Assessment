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/>
  <xr:revisionPtr revIDLastSave="0" documentId="8_{F4E717C5-BA4C-450B-BB65-D93624F5776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IPAA_RISK_ASSESSMENT_REGIST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1" l="1"/>
  <c r="G4" i="1"/>
  <c r="H3" i="1"/>
  <c r="G3" i="1"/>
  <c r="H2" i="1"/>
  <c r="G2" i="1"/>
</calcChain>
</file>

<file path=xl/sharedStrings.xml><?xml version="1.0" encoding="utf-8"?>
<sst xmlns="http://schemas.openxmlformats.org/spreadsheetml/2006/main" count="33" uniqueCount="33">
  <si>
    <t>RISK ID</t>
  </si>
  <si>
    <t>HIPAA DOMAIN</t>
  </si>
  <si>
    <t>HIPAA RULE/CITATION STANDARD</t>
  </si>
  <si>
    <t>RISK DESCRIPTION STATEMENT</t>
  </si>
  <si>
    <t>LIKELIHOOD (1-5)</t>
  </si>
  <si>
    <t>IMPACT (1-5)</t>
  </si>
  <si>
    <t>INHERENT RISK SCORE</t>
  </si>
  <si>
    <t>RISK RATING</t>
  </si>
  <si>
    <t>REMEDIATION/MITIGATION</t>
  </si>
  <si>
    <t>OWNER</t>
  </si>
  <si>
    <t>STATUS</t>
  </si>
  <si>
    <t>TARGET COMPLETION</t>
  </si>
  <si>
    <t>RISK-001</t>
  </si>
  <si>
    <t>Technical Safeguards</t>
  </si>
  <si>
    <t>164.312(a)(2)(iv) -encryption</t>
  </si>
  <si>
    <t>ePHI transmitted across public network without encryption</t>
  </si>
  <si>
    <t xml:space="preserve">Enforce TLS 1.3 across all endpoints and deprecate legacy SSL protocols  </t>
  </si>
  <si>
    <t>Dev0ps lead</t>
  </si>
  <si>
    <t>InProgress</t>
  </si>
  <si>
    <t>RISK-002</t>
  </si>
  <si>
    <t>Administrative Safeguards</t>
  </si>
  <si>
    <t>164.308 (a)(1)(ii)(B)-RISK</t>
  </si>
  <si>
    <t>Third-party vendors handling</t>
  </si>
  <si>
    <t>Conduct vendor audit; request signed BAAs from all active software vendors accessing ePHI</t>
  </si>
  <si>
    <t>Compliance Officer</t>
  </si>
  <si>
    <t>Open</t>
  </si>
  <si>
    <t>RISK003</t>
  </si>
  <si>
    <t>Physical Safeguards</t>
  </si>
  <si>
    <t>164.310(d)(1) -Device Controls</t>
  </si>
  <si>
    <t>Laptops used by remote staff lack central full-disk encryption (BitLocker/FileVault)</t>
  </si>
  <si>
    <t>Deploy MDM policy enforcing mandatory BitLocker/FileVault encryption across all devices</t>
  </si>
  <si>
    <t>IT Admin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</si>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</sst>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sqref="A1:XFD1048576"/>
    </sheetView>
  </sheetViews>
  <sheetFormatPr defaultRowHeight="15"/>
  <cols>
    <col min="1" max="1" width="9" bestFit="1" customWidth="1"/>
    <col min="2" max="2" width="23.85546875" bestFit="1" customWidth="1"/>
    <col min="3" max="3" width="31" bestFit="1" customWidth="1"/>
    <col min="4" max="4" width="52.42578125" style="2" bestFit="1" customWidth="1"/>
    <col min="5" max="5" width="16.5703125" bestFit="1" customWidth="1"/>
    <col min="6" max="6" width="12.28515625" bestFit="1" customWidth="1"/>
    <col min="7" max="7" width="21.28515625" bestFit="1" customWidth="1"/>
    <col min="8" max="8" width="11.85546875" bestFit="1" customWidth="1"/>
    <col min="9" max="9" width="81.140625" bestFit="1" customWidth="1"/>
    <col min="10" max="10" width="18.140625" bestFit="1" customWidth="1"/>
    <col min="11" max="11" width="10.5703125" bestFit="1" customWidth="1"/>
    <col min="12" max="12" width="20.28515625" bestFit="1" customWidth="1"/>
  </cols>
  <sheetData>
    <row r="1" spans="1:12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20.25" customHeight="1">
      <c r="A2" t="s">
        <v>12</v>
      </c>
      <c r="B2" t="s">
        <v>13</v>
      </c>
      <c r="C2" t="s">
        <v>14</v>
      </c>
      <c r="D2" s="2" t="s">
        <v>15</v>
      </c>
      <c r="E2">
        <v>4</v>
      </c>
      <c r="F2">
        <v>5</v>
      </c>
      <c r="G2">
        <f>E2*F2</f>
        <v>20</v>
      </c>
      <c r="H2" s="2" t="str">
        <f>IF(G2&gt;=15, "HIGH", IF(G2&gt;=8, "MEDIUM", "LOW"))</f>
        <v>HIGH</v>
      </c>
      <c r="I2" t="s">
        <v>16</v>
      </c>
      <c r="J2" t="s">
        <v>17</v>
      </c>
      <c r="K2" t="s">
        <v>18</v>
      </c>
      <c r="L2" s="1">
        <v>46262</v>
      </c>
    </row>
    <row r="3" spans="1:12">
      <c r="A3" t="s">
        <v>19</v>
      </c>
      <c r="B3" t="s">
        <v>20</v>
      </c>
      <c r="C3" t="s">
        <v>21</v>
      </c>
      <c r="D3" s="2" t="s">
        <v>22</v>
      </c>
      <c r="E3">
        <v>3</v>
      </c>
      <c r="F3">
        <v>4</v>
      </c>
      <c r="G3">
        <f>E3*F3</f>
        <v>12</v>
      </c>
      <c r="H3" s="2" t="str">
        <f>IF(G3&gt;=15, "HIGH", IF(G3&gt;=8, "MEDIUM", "LOW"))</f>
        <v>MEDIUM</v>
      </c>
      <c r="I3" t="s">
        <v>23</v>
      </c>
      <c r="J3" t="s">
        <v>24</v>
      </c>
      <c r="K3" t="s">
        <v>25</v>
      </c>
      <c r="L3" s="1">
        <v>46269</v>
      </c>
    </row>
    <row r="4" spans="1:12" ht="29.25">
      <c r="A4" t="s">
        <v>26</v>
      </c>
      <c r="B4" t="s">
        <v>27</v>
      </c>
      <c r="C4" t="s">
        <v>28</v>
      </c>
      <c r="D4" s="2" t="s">
        <v>29</v>
      </c>
      <c r="E4">
        <v>3</v>
      </c>
      <c r="F4">
        <v>5</v>
      </c>
      <c r="G4">
        <f>E4*F4</f>
        <v>15</v>
      </c>
      <c r="H4" s="2" t="str">
        <f>IF(G4&gt;=15, "HIGH", IF(G4&gt;=8, "MEDIUM", "LOW"))</f>
        <v>HIGH</v>
      </c>
      <c r="I4" t="s">
        <v>30</v>
      </c>
      <c r="J4" t="s">
        <v>31</v>
      </c>
      <c r="K4" t="s">
        <v>32</v>
      </c>
      <c r="L4" s="1">
        <v>46255</v>
      </c>
    </row>
  </sheetData>
  <conditionalFormatting sqref="I6">
    <cfRule type="containsText" dxfId="3" priority="4" operator="containsText" text="HIGH">
      <formula>NOT(ISERROR(SEARCH("HIGH",I6)))</formula>
    </cfRule>
  </conditionalFormatting>
  <conditionalFormatting sqref="I6">
    <cfRule type="containsText" dxfId="2" priority="3" operator="containsText" text="MEDIUM">
      <formula>NOT(ISERROR(SEARCH("MEDIUM",I6)))</formula>
    </cfRule>
  </conditionalFormatting>
  <conditionalFormatting sqref="H1:H4">
    <cfRule type="containsText" dxfId="1" priority="2" operator="containsText" text="HIGH">
      <formula>NOT(ISERROR(SEARCH("HIGH",H1)))</formula>
    </cfRule>
  </conditionalFormatting>
  <conditionalFormatting sqref="H1:H4">
    <cfRule type="containsText" dxfId="0" priority="1" operator="containsText" text="MEDIUM">
      <formula>NOT(ISERROR(SEARCH("MEDIUM",H1)))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2026-08-14T14:15:13Z</dcterms:created>
  <dcterms:modified xsi:type="dcterms:W3CDTF">2026-08-24T12:06:45Z</dcterms:modified>
  <cp:category/>
  <cp:contentStatus/>
</cp:coreProperties>
</file>