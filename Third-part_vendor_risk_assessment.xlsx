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27D7C852-A7D7-4194-825B-F70A527F20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ENDOR RISK 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B6" i="1"/>
  <c r="J4" i="1"/>
  <c r="I4" i="1"/>
  <c r="H4" i="1"/>
  <c r="J3" i="1"/>
  <c r="I3" i="1"/>
  <c r="H3" i="1"/>
  <c r="J2" i="1"/>
  <c r="E6" i="1" s="1"/>
  <c r="I2" i="1"/>
  <c r="H2" i="1"/>
</calcChain>
</file>

<file path=xl/sharedStrings.xml><?xml version="1.0" encoding="utf-8"?>
<sst xmlns="http://schemas.openxmlformats.org/spreadsheetml/2006/main" count="43" uniqueCount="33">
  <si>
    <t>Vendor ID</t>
  </si>
  <si>
    <t>Vendor Name</t>
  </si>
  <si>
    <t>Data Access Level</t>
  </si>
  <si>
    <t>Critical</t>
  </si>
  <si>
    <t>SOC2 Compliant</t>
  </si>
  <si>
    <t>ISO 27001</t>
  </si>
  <si>
    <t>Last Assessment Date</t>
  </si>
  <si>
    <t>Inherent Risk Score</t>
  </si>
  <si>
    <t>Residual Risk Score</t>
  </si>
  <si>
    <t>Vendor Status</t>
  </si>
  <si>
    <t>Critical 4th parties</t>
  </si>
  <si>
    <t>4th-Party Oversight</t>
  </si>
  <si>
    <t>Concentration Risk</t>
  </si>
  <si>
    <t>VEN-001</t>
  </si>
  <si>
    <t>Cloudscale Hosting</t>
  </si>
  <si>
    <t>High</t>
  </si>
  <si>
    <t>Yes</t>
  </si>
  <si>
    <t>AWS,Equinix</t>
  </si>
  <si>
    <t>Cloud Hosting (AWS)</t>
  </si>
  <si>
    <t>VEN-002</t>
  </si>
  <si>
    <t>Fastpay Gateway</t>
  </si>
  <si>
    <t>No</t>
  </si>
  <si>
    <t>AWS, Visa</t>
  </si>
  <si>
    <t>VEN-003</t>
  </si>
  <si>
    <t>OfficeSupplies Co</t>
  </si>
  <si>
    <t>Low</t>
  </si>
  <si>
    <t>Non-Critical</t>
  </si>
  <si>
    <t>DHL</t>
  </si>
  <si>
    <t>N/A</t>
  </si>
  <si>
    <t>Logistics</t>
  </si>
  <si>
    <t>Total Vendors</t>
  </si>
  <si>
    <t>Action Required</t>
  </si>
  <si>
    <t>AWS Dependencies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</si>
</sst>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A8" sqref="A8"/>
    </sheetView>
  </sheetViews>
  <sheetFormatPr defaultRowHeight="15"/>
  <cols>
    <col min="1" max="1" width="13.42578125" bestFit="1" customWidth="1"/>
    <col min="2" max="2" width="18.140625" bestFit="1" customWidth="1"/>
    <col min="3" max="3" width="16.7109375" bestFit="1" customWidth="1"/>
    <col min="4" max="4" width="15.42578125" bestFit="1" customWidth="1"/>
    <col min="5" max="5" width="15.7109375" bestFit="1" customWidth="1"/>
    <col min="6" max="6" width="10" bestFit="1" customWidth="1"/>
    <col min="7" max="7" width="20.28515625" bestFit="1" customWidth="1"/>
    <col min="8" max="8" width="17.85546875" bestFit="1" customWidth="1"/>
    <col min="9" max="9" width="18.140625" bestFit="1" customWidth="1"/>
    <col min="10" max="10" width="14.85546875" bestFit="1" customWidth="1"/>
    <col min="11" max="11" width="17" bestFit="1" customWidth="1"/>
    <col min="12" max="12" width="17.85546875" bestFit="1" customWidth="1"/>
    <col min="13" max="13" width="19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3</v>
      </c>
      <c r="E2" t="s">
        <v>16</v>
      </c>
      <c r="F2" t="s">
        <v>16</v>
      </c>
      <c r="G2" s="1">
        <v>46037</v>
      </c>
      <c r="H2">
        <f>IF(AND(C2="High", D2="Critical"), 10, IF(OR(C2="High", D2="Critical"), 7, IF(C2="Medium", 5, 2)))</f>
        <v>10</v>
      </c>
      <c r="I2">
        <f>MAX(1, H2 - IF(E2="Yes", 2, 0) - IF(F2="Yes", 2, 0))</f>
        <v>6</v>
      </c>
      <c r="J2" t="str">
        <f ca="1">IF(AND(C2="High", E2="No", F2="No"), "Action Required", IF(TODAY()-G2&gt;365, "Re-Assessment Due", "Approved"))</f>
        <v>Approved</v>
      </c>
      <c r="K2" t="s">
        <v>17</v>
      </c>
      <c r="L2" t="s">
        <v>16</v>
      </c>
      <c r="M2" t="s">
        <v>18</v>
      </c>
    </row>
    <row r="3" spans="1:13">
      <c r="A3" t="s">
        <v>19</v>
      </c>
      <c r="B3" t="s">
        <v>20</v>
      </c>
      <c r="C3" t="s">
        <v>15</v>
      </c>
      <c r="D3" t="s">
        <v>3</v>
      </c>
      <c r="E3" t="s">
        <v>21</v>
      </c>
      <c r="F3" t="s">
        <v>21</v>
      </c>
      <c r="G3" s="1">
        <v>45818</v>
      </c>
      <c r="H3">
        <f>IF(AND(C3="High", D3="Critical"), 10, IF(OR(C3="High", D3="Critical"), 7, IF(C3="Medium", 5, 2)))</f>
        <v>10</v>
      </c>
      <c r="I3">
        <f>MAX(1, H3 - IF(E3="Yes", 2, 0) - IF(F3="Yes", 2, 0))</f>
        <v>10</v>
      </c>
      <c r="J3" t="str">
        <f ca="1">IF(AND(C3="High", E3="No", F3="No"), "Action Required", IF(TODAY()-G3&gt;365, "Re-Assessment Due", "Approved"))</f>
        <v>Action Required</v>
      </c>
      <c r="K3" t="s">
        <v>22</v>
      </c>
      <c r="L3" t="s">
        <v>21</v>
      </c>
      <c r="M3" t="s">
        <v>18</v>
      </c>
    </row>
    <row r="4" spans="1:13">
      <c r="A4" t="s">
        <v>23</v>
      </c>
      <c r="B4" t="s">
        <v>24</v>
      </c>
      <c r="C4" t="s">
        <v>25</v>
      </c>
      <c r="D4" t="s">
        <v>26</v>
      </c>
      <c r="E4" t="s">
        <v>21</v>
      </c>
      <c r="F4" t="s">
        <v>21</v>
      </c>
      <c r="G4" s="1">
        <v>46082</v>
      </c>
      <c r="H4">
        <f>IF(AND(C4="High", D4="Critical"), 10, IF(OR(C4="High", D4="Critical"), 7, IF(C4="Medium", 5, 2)))</f>
        <v>2</v>
      </c>
      <c r="I4">
        <f>MAX(1, H4 - IF(E4="Yes", 2, 0) - IF(F4="Yes", 2, 0))</f>
        <v>2</v>
      </c>
      <c r="J4" t="str">
        <f ca="1">IF(AND(C4="High", E4="No", F4="No"), "Action Required", IF(TODAY()-G4&gt;365, "Re-Assessment Due", "Approved"))</f>
        <v>Approved</v>
      </c>
      <c r="K4" t="s">
        <v>27</v>
      </c>
      <c r="L4" t="s">
        <v>28</v>
      </c>
      <c r="M4" t="s">
        <v>29</v>
      </c>
    </row>
    <row r="6" spans="1:13">
      <c r="A6" s="2" t="s">
        <v>30</v>
      </c>
      <c r="B6" s="2">
        <f>COUNTA(A2:A4)</f>
        <v>3</v>
      </c>
      <c r="C6" s="2"/>
      <c r="D6" s="2" t="s">
        <v>31</v>
      </c>
      <c r="E6" s="2">
        <f ca="1">COUNTIF(J2:J4, "ACTION REQUIRED")</f>
        <v>1</v>
      </c>
      <c r="F6" s="2"/>
      <c r="G6" s="2" t="s">
        <v>32</v>
      </c>
      <c r="H6" s="2">
        <f>COUNTIF(M2:M4, "*AWS*")</f>
        <v>2</v>
      </c>
    </row>
  </sheetData>
  <conditionalFormatting sqref="J2:J100">
    <cfRule type="containsText" dxfId="0" priority="1" operator="containsText" text="action required">
      <formula>NOT(ISERROR(SEARCH("action required",J2)))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2026-08-17T11:31:52Z</dcterms:created>
  <dcterms:modified xsi:type="dcterms:W3CDTF">2026-08-24T12:26:03Z</dcterms:modified>
  <cp:category/>
  <cp:contentStatus/>
</cp:coreProperties>
</file>