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/>
  <xr:revisionPtr revIDLastSave="0" documentId="8_{CD1C9BC0-802F-419D-8933-0D958846AB3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Vendor Assessment  dashboar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3" i="1" l="1"/>
  <c r="G3" i="1"/>
  <c r="G4" i="1"/>
  <c r="G5" i="1"/>
  <c r="G6" i="1"/>
  <c r="G7" i="1"/>
  <c r="G2" i="1"/>
  <c r="B12" i="1"/>
  <c r="B11" i="1"/>
  <c r="B10" i="1"/>
  <c r="E3" i="1"/>
  <c r="E4" i="1"/>
  <c r="E5" i="1"/>
  <c r="E6" i="1"/>
  <c r="E7" i="1"/>
  <c r="E2" i="1"/>
</calcChain>
</file>

<file path=xl/sharedStrings.xml><?xml version="1.0" encoding="utf-8"?>
<sst xmlns="http://schemas.openxmlformats.org/spreadsheetml/2006/main" count="29" uniqueCount="23">
  <si>
    <t>VENDORS</t>
  </si>
  <si>
    <t>UPTIME%</t>
  </si>
  <si>
    <t>INCIDENTS</t>
  </si>
  <si>
    <t>CRITICAL</t>
  </si>
  <si>
    <t>SLA TIER</t>
  </si>
  <si>
    <t>4TH-PART HOST</t>
  </si>
  <si>
    <t>4TH-PART RISK</t>
  </si>
  <si>
    <t>CloudVault</t>
  </si>
  <si>
    <t>Yes</t>
  </si>
  <si>
    <t>AWS</t>
  </si>
  <si>
    <t>DataStream</t>
  </si>
  <si>
    <t>Azure</t>
  </si>
  <si>
    <t>NetSecure</t>
  </si>
  <si>
    <t>No</t>
  </si>
  <si>
    <t>On-Prem</t>
  </si>
  <si>
    <t>LogiTech</t>
  </si>
  <si>
    <t>AuthHub</t>
  </si>
  <si>
    <t>GCP</t>
  </si>
  <si>
    <t>PaymentCore</t>
  </si>
  <si>
    <t>High Concern Vendors</t>
  </si>
  <si>
    <t>Critical Vendors w/ Incident</t>
  </si>
  <si>
    <t>Sub-par Non-Critical Vendors</t>
  </si>
  <si>
    <t>AWS Dependencies w/Incident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</si>
</sst>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0" fontId="0" fillId="2" borderId="0" xfId="0" applyFont="1" applyFill="1"/>
    <xf numFmtId="0" fontId="1" fillId="0" borderId="0" xfId="0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B13" sqref="B13"/>
    </sheetView>
  </sheetViews>
  <sheetFormatPr defaultRowHeight="15"/>
  <cols>
    <col min="1" max="1" width="28.7109375" bestFit="1" customWidth="1"/>
    <col min="2" max="2" width="9.28515625" bestFit="1" customWidth="1"/>
    <col min="3" max="3" width="10.7109375" bestFit="1" customWidth="1"/>
    <col min="5" max="5" width="15.5703125" bestFit="1" customWidth="1"/>
    <col min="6" max="6" width="15.28515625" bestFit="1" customWidth="1"/>
    <col min="7" max="7" width="14.42578125" bestFit="1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spans="1:7">
      <c r="A2" t="s">
        <v>7</v>
      </c>
      <c r="B2" s="1">
        <v>0.998</v>
      </c>
      <c r="C2">
        <v>0</v>
      </c>
      <c r="D2" t="s">
        <v>8</v>
      </c>
      <c r="E2" t="str">
        <f>IF(OR(B2&lt;0.98, C2&gt;2), "CRITICAL RISK", IF(OR(B2&lt;0.99, C2&gt;=1), "HIGH CONCERN", "LOW RISK"))</f>
        <v>LOW RISK</v>
      </c>
      <c r="F2" t="s">
        <v>9</v>
      </c>
      <c r="G2" t="str">
        <f>IF(AND(F2="AWS", C2&gt;=1), "HIGH RISK", "LOW RISK")</f>
        <v>LOW RISK</v>
      </c>
    </row>
    <row r="3" spans="1:7">
      <c r="A3" t="s">
        <v>10</v>
      </c>
      <c r="B3" s="1">
        <v>0.98199999999999998</v>
      </c>
      <c r="C3">
        <v>2</v>
      </c>
      <c r="D3" t="s">
        <v>8</v>
      </c>
      <c r="E3" t="str">
        <f t="shared" ref="E3:E7" si="0">IF(OR(B3&lt;0.98, C3&gt;2), "CRITICAL RISK", IF(OR(B3&lt;0.99, C3&gt;=1), "HIGH CONCERN", "LOW RISK"))</f>
        <v>HIGH CONCERN</v>
      </c>
      <c r="F3" t="s">
        <v>11</v>
      </c>
      <c r="G3" t="str">
        <f t="shared" ref="G3:G7" si="1">IF(AND(F3="AWS", C3&gt;=1), "HIGH RISK", "LOW RISK")</f>
        <v>LOW RISK</v>
      </c>
    </row>
    <row r="4" spans="1:7">
      <c r="A4" t="s">
        <v>12</v>
      </c>
      <c r="B4" s="1">
        <v>0.99099999999999999</v>
      </c>
      <c r="C4">
        <v>1</v>
      </c>
      <c r="D4" t="s">
        <v>13</v>
      </c>
      <c r="E4" t="str">
        <f t="shared" si="0"/>
        <v>HIGH CONCERN</v>
      </c>
      <c r="F4" t="s">
        <v>14</v>
      </c>
      <c r="G4" t="str">
        <f t="shared" si="1"/>
        <v>LOW RISK</v>
      </c>
    </row>
    <row r="5" spans="1:7">
      <c r="A5" t="s">
        <v>15</v>
      </c>
      <c r="B5" s="1">
        <v>0.94499999999999995</v>
      </c>
      <c r="C5">
        <v>3</v>
      </c>
      <c r="D5" t="s">
        <v>8</v>
      </c>
      <c r="E5" t="str">
        <f t="shared" si="0"/>
        <v>CRITICAL RISK</v>
      </c>
      <c r="F5" t="s">
        <v>9</v>
      </c>
      <c r="G5" t="str">
        <f t="shared" si="1"/>
        <v>HIGH RISK</v>
      </c>
    </row>
    <row r="6" spans="1:7">
      <c r="A6" t="s">
        <v>16</v>
      </c>
      <c r="B6" s="1">
        <v>0.999</v>
      </c>
      <c r="C6">
        <v>0</v>
      </c>
      <c r="D6" t="s">
        <v>13</v>
      </c>
      <c r="E6" t="str">
        <f t="shared" si="0"/>
        <v>LOW RISK</v>
      </c>
      <c r="F6" t="s">
        <v>17</v>
      </c>
      <c r="G6" t="str">
        <f t="shared" si="1"/>
        <v>LOW RISK</v>
      </c>
    </row>
    <row r="7" spans="1:7">
      <c r="A7" t="s">
        <v>18</v>
      </c>
      <c r="B7" s="1">
        <v>0.97499999999999998</v>
      </c>
      <c r="C7">
        <v>1</v>
      </c>
      <c r="D7" t="s">
        <v>8</v>
      </c>
      <c r="E7" t="str">
        <f t="shared" si="0"/>
        <v>CRITICAL RISK</v>
      </c>
      <c r="F7" t="s">
        <v>9</v>
      </c>
      <c r="G7" t="str">
        <f t="shared" si="1"/>
        <v>HIGH RISK</v>
      </c>
    </row>
    <row r="10" spans="1:7">
      <c r="A10" t="s">
        <v>19</v>
      </c>
      <c r="B10">
        <f>COUNTIF(E2:E7, "HIGH CONCERN")</f>
        <v>2</v>
      </c>
    </row>
    <row r="11" spans="1:7">
      <c r="A11" t="s">
        <v>20</v>
      </c>
      <c r="B11">
        <f>COUNTIFS(D2:D7, "YES", C2:C7, "&gt;0")</f>
        <v>3</v>
      </c>
    </row>
    <row r="12" spans="1:7">
      <c r="A12" t="s">
        <v>21</v>
      </c>
      <c r="B12">
        <f>COUNTIFS(D2:D7, "NO", B2:B7, "&lt;0.995")</f>
        <v>1</v>
      </c>
    </row>
    <row r="13" spans="1:7">
      <c r="A13" t="s">
        <v>22</v>
      </c>
      <c r="B13">
        <f>COUNTIFS(F2:F7, "AWS", C2:C7, "&gt;=1")</f>
        <v>2</v>
      </c>
    </row>
  </sheetData>
  <conditionalFormatting sqref="E2:E7">
    <cfRule type="containsText" dxfId="2" priority="3" operator="containsText" text="CRITICAL RISK">
      <formula>NOT(ISERROR(SEARCH("CRITICAL RISK",E2)))</formula>
    </cfRule>
  </conditionalFormatting>
  <conditionalFormatting sqref="E2:E7">
    <cfRule type="containsText" dxfId="1" priority="2" operator="containsText" text="HIGH CONCERN">
      <formula>NOT(ISERROR(SEARCH("HIGH CONCERN",E2)))</formula>
    </cfRule>
  </conditionalFormatting>
  <conditionalFormatting sqref="G2:G7">
    <cfRule type="containsText" dxfId="0" priority="1" operator="containsText" text="HIGH RISK">
      <formula>NOT(ISERROR(SEARCH("HIGH RISK",G2)))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2026-08-09T14:07:42Z</dcterms:created>
  <dcterms:modified xsi:type="dcterms:W3CDTF">2026-08-24T11:50:39Z</dcterms:modified>
  <cp:category/>
  <cp:contentStatus/>
</cp:coreProperties>
</file>