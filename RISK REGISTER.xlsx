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/>
  <xr:revisionPtr revIDLastSave="0" documentId="8_{FFF4F1AA-5668-45D6-B45A-BE38950050E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0" i="1"/>
  <c r="G10" i="1"/>
  <c r="G9" i="1"/>
  <c r="G8" i="1"/>
  <c r="G7" i="1"/>
  <c r="G6" i="1"/>
  <c r="G5" i="1"/>
  <c r="G4" i="1"/>
  <c r="G3" i="1"/>
  <c r="G2" i="1"/>
  <c r="K2" i="1" l="1"/>
  <c r="H2" i="1"/>
  <c r="K3" i="1"/>
  <c r="H3" i="1"/>
  <c r="K4" i="1"/>
  <c r="L4" i="1" s="1"/>
  <c r="H4" i="1"/>
  <c r="K5" i="1"/>
  <c r="L5" i="1" s="1"/>
  <c r="H5" i="1"/>
  <c r="K6" i="1"/>
  <c r="L6" i="1" s="1"/>
  <c r="H6" i="1"/>
  <c r="K7" i="1"/>
  <c r="L7" i="1" s="1"/>
  <c r="H7" i="1"/>
  <c r="K8" i="1"/>
  <c r="L8" i="1" s="1"/>
  <c r="H8" i="1"/>
  <c r="K9" i="1"/>
  <c r="L9" i="1" s="1"/>
  <c r="H9" i="1"/>
  <c r="K10" i="1"/>
  <c r="L10" i="1" s="1"/>
  <c r="H10" i="1"/>
</calcChain>
</file>

<file path=xl/sharedStrings.xml><?xml version="1.0" encoding="utf-8"?>
<sst xmlns="http://schemas.openxmlformats.org/spreadsheetml/2006/main" count="42" uniqueCount="37">
  <si>
    <t>RISK ID</t>
  </si>
  <si>
    <t>RISK CATEGORY</t>
  </si>
  <si>
    <t>RISK DESCRIPTION</t>
  </si>
  <si>
    <t>RISK OWNER</t>
  </si>
  <si>
    <t>INHERENT LIKELIHOOD</t>
  </si>
  <si>
    <t>INHERENT IMPACT</t>
  </si>
  <si>
    <t>INHERENT RISK SCORE</t>
  </si>
  <si>
    <t>INHERENT RISK LEVEL</t>
  </si>
  <si>
    <t>CURRENT CONTROLS</t>
  </si>
  <si>
    <t>CONTROL EFFECTIVENESS (%)</t>
  </si>
  <si>
    <t>RESIDUAL RISK SCORE</t>
  </si>
  <si>
    <t>RESIDUAL RISK LEVEL</t>
  </si>
  <si>
    <t>RISK RESPONSE STRATEGY</t>
  </si>
  <si>
    <t>STATUS</t>
  </si>
  <si>
    <t>RISK-001</t>
  </si>
  <si>
    <t>Cybersecurity</t>
  </si>
  <si>
    <t>Unauthenticated Cloud</t>
  </si>
  <si>
    <t>Sec0ps Lead</t>
  </si>
  <si>
    <t>MFA ENABLED, QUARTERLY ACCOUNTS</t>
  </si>
  <si>
    <t>Medium</t>
  </si>
  <si>
    <t>Mitigate</t>
  </si>
  <si>
    <t>Open</t>
  </si>
  <si>
    <t>RISK-002</t>
  </si>
  <si>
    <t>Data Protection</t>
  </si>
  <si>
    <t>Unencrypted sensitive file</t>
  </si>
  <si>
    <t>IT Oprerations</t>
  </si>
  <si>
    <t>Email size limits, Basic antivirus</t>
  </si>
  <si>
    <t>RISK-003</t>
  </si>
  <si>
    <t>Third-Party</t>
  </si>
  <si>
    <t>Vendor API vulnerability expose</t>
  </si>
  <si>
    <t>Vendor Management</t>
  </si>
  <si>
    <t>Annual vendor audit,SLA agreement</t>
  </si>
  <si>
    <t>TOTAL RISK</t>
  </si>
  <si>
    <t>CRITICAL RISK</t>
  </si>
  <si>
    <t>HIGH RISKS</t>
  </si>
  <si>
    <t>MEDIUM RISKS</t>
  </si>
  <si>
    <t>LOW RISKS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</si>
</sst>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D1" sqref="A1:XFD1048576"/>
    </sheetView>
  </sheetViews>
  <sheetFormatPr defaultRowHeight="15"/>
  <cols>
    <col min="1" max="1" width="14.140625" style="1" bestFit="1" customWidth="1"/>
    <col min="2" max="2" width="15.28515625" style="1" bestFit="1" customWidth="1"/>
    <col min="3" max="3" width="28.28515625" style="1" bestFit="1" customWidth="1"/>
    <col min="4" max="4" width="19.140625" style="1" bestFit="1" customWidth="1"/>
    <col min="5" max="5" width="21.7109375" style="1" bestFit="1" customWidth="1"/>
    <col min="6" max="6" width="16.140625" style="1" bestFit="1" customWidth="1"/>
    <col min="7" max="7" width="21.28515625" style="1" bestFit="1" customWidth="1"/>
    <col min="8" max="8" width="20.42578125" style="1" bestFit="1" customWidth="1"/>
    <col min="9" max="9" width="36.140625" style="1" bestFit="1" customWidth="1"/>
    <col min="10" max="10" width="28.140625" style="1" bestFit="1" customWidth="1"/>
    <col min="11" max="11" width="21" style="1" bestFit="1" customWidth="1"/>
    <col min="12" max="12" width="20.140625" style="1" bestFit="1" customWidth="1"/>
    <col min="13" max="13" width="24.7109375" style="1" bestFit="1" customWidth="1"/>
    <col min="14" max="14" width="7.7109375" style="1" bestFit="1" customWidth="1"/>
    <col min="15" max="16384" width="9.140625" style="1"/>
  </cols>
  <sheetData>
    <row r="1" spans="1:14" ht="29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>
        <v>4</v>
      </c>
      <c r="F2" s="1">
        <v>5</v>
      </c>
      <c r="G2" s="1">
        <f>E2*F2</f>
        <v>20</v>
      </c>
      <c r="H2" s="1" t="str">
        <f>IF(G2&gt;=15,"CRITICAL",IF(G2&gt;=10,"HIGH",IF(G2&gt;=5,"MEDIUM","LOW")))</f>
        <v>CRITICAL</v>
      </c>
      <c r="I2" s="1" t="s">
        <v>18</v>
      </c>
      <c r="J2" s="2">
        <v>0.75</v>
      </c>
      <c r="K2" s="1">
        <f>ROUND(G2*(1-J2),0)</f>
        <v>5</v>
      </c>
      <c r="L2" s="1" t="s">
        <v>19</v>
      </c>
      <c r="M2" s="1" t="s">
        <v>20</v>
      </c>
      <c r="N2" s="1" t="s">
        <v>21</v>
      </c>
    </row>
    <row r="3" spans="1:14">
      <c r="A3" s="1" t="s">
        <v>22</v>
      </c>
      <c r="B3" s="1" t="s">
        <v>23</v>
      </c>
      <c r="C3" s="1" t="s">
        <v>24</v>
      </c>
      <c r="D3" s="1" t="s">
        <v>25</v>
      </c>
      <c r="E3" s="1">
        <v>3</v>
      </c>
      <c r="F3" s="1">
        <v>4</v>
      </c>
      <c r="G3" s="1">
        <f t="shared" ref="G3:G10" si="0">E3*F3</f>
        <v>12</v>
      </c>
      <c r="H3" s="1" t="str">
        <f t="shared" ref="H3:H10" si="1">IF(G3&gt;=15,"CRITICAL",IF(G3&gt;=10,"HIGH",IF(G3&gt;=5,"MEDIUM","LOW")))</f>
        <v>HIGH</v>
      </c>
      <c r="I3" s="1" t="s">
        <v>26</v>
      </c>
      <c r="J3" s="2">
        <v>0.5</v>
      </c>
      <c r="K3" s="1">
        <f t="shared" ref="K3:K10" si="2">ROUND(G3*(1-J3),0)</f>
        <v>6</v>
      </c>
      <c r="L3" s="1" t="s">
        <v>19</v>
      </c>
      <c r="M3" s="1" t="s">
        <v>20</v>
      </c>
      <c r="N3" s="1" t="s">
        <v>21</v>
      </c>
    </row>
    <row r="4" spans="1:14">
      <c r="A4" s="1" t="s">
        <v>27</v>
      </c>
      <c r="B4" s="1" t="s">
        <v>28</v>
      </c>
      <c r="C4" s="1" t="s">
        <v>29</v>
      </c>
      <c r="D4" s="1" t="s">
        <v>30</v>
      </c>
      <c r="E4" s="1">
        <v>4</v>
      </c>
      <c r="F4" s="1">
        <v>5</v>
      </c>
      <c r="G4" s="1">
        <f t="shared" si="0"/>
        <v>20</v>
      </c>
      <c r="H4" s="1" t="str">
        <f t="shared" si="1"/>
        <v>CRITICAL</v>
      </c>
      <c r="I4" s="1" t="s">
        <v>31</v>
      </c>
      <c r="J4" s="2">
        <v>0.4</v>
      </c>
      <c r="K4" s="1">
        <f t="shared" si="2"/>
        <v>12</v>
      </c>
      <c r="L4" s="1" t="str">
        <f t="shared" ref="L3:L10" si="3">IF(K4&gt;=15,"CRITICAL",IF(K4&gt;=10,"HIGH",IF(K4&gt;=5,"MEDIUM","LOW")))</f>
        <v>HIGH</v>
      </c>
      <c r="M4" s="1" t="s">
        <v>20</v>
      </c>
      <c r="N4" s="1" t="s">
        <v>21</v>
      </c>
    </row>
    <row r="5" spans="1:14">
      <c r="G5" s="1">
        <f t="shared" si="0"/>
        <v>0</v>
      </c>
      <c r="H5" s="1" t="str">
        <f t="shared" si="1"/>
        <v>LOW</v>
      </c>
      <c r="J5" s="2"/>
      <c r="K5" s="1">
        <f t="shared" si="2"/>
        <v>0</v>
      </c>
      <c r="L5" s="1" t="str">
        <f t="shared" si="3"/>
        <v>LOW</v>
      </c>
    </row>
    <row r="6" spans="1:14">
      <c r="G6" s="1">
        <f t="shared" si="0"/>
        <v>0</v>
      </c>
      <c r="H6" s="1" t="str">
        <f t="shared" si="1"/>
        <v>LOW</v>
      </c>
      <c r="J6" s="2"/>
      <c r="K6" s="1">
        <f t="shared" si="2"/>
        <v>0</v>
      </c>
      <c r="L6" s="1" t="str">
        <f t="shared" si="3"/>
        <v>LOW</v>
      </c>
    </row>
    <row r="7" spans="1:14">
      <c r="G7" s="1">
        <f t="shared" si="0"/>
        <v>0</v>
      </c>
      <c r="H7" s="1" t="str">
        <f t="shared" si="1"/>
        <v>LOW</v>
      </c>
      <c r="J7" s="2"/>
      <c r="K7" s="1">
        <f t="shared" si="2"/>
        <v>0</v>
      </c>
      <c r="L7" s="1" t="str">
        <f t="shared" si="3"/>
        <v>LOW</v>
      </c>
    </row>
    <row r="8" spans="1:14">
      <c r="G8" s="1">
        <f t="shared" si="0"/>
        <v>0</v>
      </c>
      <c r="H8" s="1" t="str">
        <f t="shared" si="1"/>
        <v>LOW</v>
      </c>
      <c r="J8" s="2"/>
      <c r="K8" s="1">
        <f t="shared" si="2"/>
        <v>0</v>
      </c>
      <c r="L8" s="1" t="str">
        <f t="shared" si="3"/>
        <v>LOW</v>
      </c>
    </row>
    <row r="9" spans="1:14">
      <c r="G9" s="1">
        <f t="shared" si="0"/>
        <v>0</v>
      </c>
      <c r="H9" s="1" t="str">
        <f t="shared" si="1"/>
        <v>LOW</v>
      </c>
      <c r="J9" s="2"/>
      <c r="K9" s="1">
        <f t="shared" si="2"/>
        <v>0</v>
      </c>
      <c r="L9" s="1" t="str">
        <f t="shared" si="3"/>
        <v>LOW</v>
      </c>
    </row>
    <row r="10" spans="1:14">
      <c r="A10" s="3" t="s">
        <v>32</v>
      </c>
      <c r="B10" s="3">
        <f>COUNTA(A2:A4)</f>
        <v>3</v>
      </c>
      <c r="G10" s="1">
        <f t="shared" si="0"/>
        <v>0</v>
      </c>
      <c r="H10" s="1" t="str">
        <f t="shared" si="1"/>
        <v>LOW</v>
      </c>
      <c r="J10" s="2"/>
      <c r="K10" s="1">
        <f t="shared" si="2"/>
        <v>0</v>
      </c>
      <c r="L10" s="1" t="str">
        <f t="shared" si="3"/>
        <v>LOW</v>
      </c>
    </row>
    <row r="11" spans="1:14">
      <c r="A11" s="3" t="s">
        <v>33</v>
      </c>
      <c r="B11" s="4">
        <f>COUNTIF(H2:H4,"CRITICAL")</f>
        <v>2</v>
      </c>
    </row>
    <row r="12" spans="1:14">
      <c r="A12" s="3" t="s">
        <v>34</v>
      </c>
      <c r="B12" s="4">
        <f>COUNTIF(H2:H4,"HIGH")</f>
        <v>1</v>
      </c>
    </row>
    <row r="13" spans="1:14" ht="29.25">
      <c r="A13" s="3" t="s">
        <v>35</v>
      </c>
      <c r="B13" s="3">
        <f>COUNTIF(H2:H4,"MEDIUM")</f>
        <v>0</v>
      </c>
    </row>
    <row r="14" spans="1:14">
      <c r="A14" s="3" t="s">
        <v>36</v>
      </c>
      <c r="B14" s="3">
        <f>COUNTIF(H2:H4,"LOW")</f>
        <v>0</v>
      </c>
    </row>
  </sheetData>
  <conditionalFormatting sqref="H1:H1048576">
    <cfRule type="containsText" dxfId="7" priority="9" operator="containsText" text="CRITICAL">
      <formula>NOT(ISERROR(SEARCH("CRITICAL",H1)))</formula>
    </cfRule>
  </conditionalFormatting>
  <conditionalFormatting sqref="H1:H1048576">
    <cfRule type="containsText" dxfId="6" priority="8" operator="containsText" text="HIGH">
      <formula>NOT(ISERROR(SEARCH("HIGH",H1)))</formula>
    </cfRule>
  </conditionalFormatting>
  <conditionalFormatting sqref="H1:H1048576">
    <cfRule type="containsText" dxfId="5" priority="7" operator="containsText" text="MEDIUM">
      <formula>NOT(ISERROR(SEARCH("MEDIUM",H1)))</formula>
    </cfRule>
  </conditionalFormatting>
  <conditionalFormatting sqref="H1:H1048576">
    <cfRule type="containsText" dxfId="4" priority="6" operator="containsText" text="LOW">
      <formula>NOT(ISERROR(SEARCH("LOW",H1)))</formula>
    </cfRule>
  </conditionalFormatting>
  <conditionalFormatting sqref="L1:L11">
    <cfRule type="containsText" dxfId="3" priority="4" operator="containsText" text="CRITICAL">
      <formula>NOT(ISERROR(SEARCH("CRITICAL",L1)))</formula>
    </cfRule>
  </conditionalFormatting>
  <conditionalFormatting sqref="L1:L11">
    <cfRule type="containsText" dxfId="2" priority="3" operator="containsText" text="HIGH">
      <formula>NOT(ISERROR(SEARCH("HIGH",L1)))</formula>
    </cfRule>
  </conditionalFormatting>
  <conditionalFormatting sqref="L1:L11">
    <cfRule type="containsText" dxfId="1" priority="2" operator="containsText" text="MEDIUM">
      <formula>NOT(ISERROR(SEARCH("MEDIUM",L1)))</formula>
    </cfRule>
  </conditionalFormatting>
  <conditionalFormatting sqref="L1:L11">
    <cfRule type="containsText" dxfId="0" priority="1" operator="containsText" text="LOW">
      <formula>NOT(ISERROR(SEARCH("LOW",L1)))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2026-08-22T12:51:20Z</dcterms:created>
  <dcterms:modified xsi:type="dcterms:W3CDTF">2026-08-24T10:46:51Z</dcterms:modified>
  <cp:category/>
  <cp:contentStatus/>
</cp:coreProperties>
</file>